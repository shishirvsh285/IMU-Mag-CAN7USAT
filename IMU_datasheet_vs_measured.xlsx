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sheet Specs" sheetId="1" state="visible" r:id="rId3"/>
    <sheet name="Sensor Settings" sheetId="2" state="visible" r:id="rId4"/>
    <sheet name="Measured vs Spec" sheetId="3" state="visible" r:id="rId5"/>
    <sheet name="No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1" authorId="0">
      <text>
        <r>
          <rPr>
            <sz val="10"/>
            <rFont val="Arial"/>
            <family val="2"/>
          </rPr>
          <t xml:space="preserve">Approximate 3 dB bandwidth for the ODR and filter used (gyro 200 Hz ODR normal filter ~75 Hz, accel 100 Hz ODR normal filter ~40 Hz). Estimate, not a datasheet value from this table.</t>
        </r>
      </text>
    </comment>
  </commentList>
</comments>
</file>

<file path=xl/sharedStrings.xml><?xml version="1.0" encoding="utf-8"?>
<sst xmlns="http://schemas.openxmlformats.org/spreadsheetml/2006/main" count="340" uniqueCount="194">
  <si>
    <t xml:space="preserve">Datasheet error values</t>
  </si>
  <si>
    <t xml:space="preserve">Sensor</t>
  </si>
  <si>
    <t xml:space="preserve">Parameter</t>
  </si>
  <si>
    <t xml:space="preserve">Value</t>
  </si>
  <si>
    <t xml:space="preserve">Unit</t>
  </si>
  <si>
    <t xml:space="preserve">Condition</t>
  </si>
  <si>
    <t xml:space="preserve">Source</t>
  </si>
  <si>
    <t xml:space="preserve">BMI270 accel</t>
  </si>
  <si>
    <t xml:space="preserve">Zero-g offset</t>
  </si>
  <si>
    <t xml:space="preserve">±20</t>
  </si>
  <si>
    <t xml:space="preserve">mg</t>
  </si>
  <si>
    <t xml:space="preserve">TA=25°C, nominal VDD, soldered, over life time</t>
  </si>
  <si>
    <t xml:space="preserve">BMI270 datasheet BST-BMI270-DS000-08, Table 2, p.12</t>
  </si>
  <si>
    <t xml:space="preserve">Zero-g offset temperature drift</t>
  </si>
  <si>
    <t xml:space="preserve">±0.25</t>
  </si>
  <si>
    <t xml:space="preserve">mg/K</t>
  </si>
  <si>
    <t xml:space="preserve">full TA range</t>
  </si>
  <si>
    <t xml:space="preserve">Sensitivity error</t>
  </si>
  <si>
    <t xml:space="preserve">±0.4</t>
  </si>
  <si>
    <t xml:space="preserve">%</t>
  </si>
  <si>
    <t xml:space="preserve">TA=25°C, ±8 g range</t>
  </si>
  <si>
    <t xml:space="preserve">Sensitivity temperature drift</t>
  </si>
  <si>
    <t xml:space="preserve">0.004</t>
  </si>
  <si>
    <t xml:space="preserve">%/K</t>
  </si>
  <si>
    <t xml:space="preserve">Output noise density</t>
  </si>
  <si>
    <t xml:space="preserve">0.16</t>
  </si>
  <si>
    <t xml:space="preserve">mg/√Hz</t>
  </si>
  <si>
    <t xml:space="preserve">normal mode, ±8 g</t>
  </si>
  <si>
    <t xml:space="preserve">Cross-axis sensitivity</t>
  </si>
  <si>
    <t xml:space="preserve">1</t>
  </si>
  <si>
    <t xml:space="preserve">between any two axes</t>
  </si>
  <si>
    <t xml:space="preserve">BMI270 datasheet BST-BMI270-DS000-08, Table 2, p.13</t>
  </si>
  <si>
    <t xml:space="preserve">Sensitivity</t>
  </si>
  <si>
    <t xml:space="preserve">4096</t>
  </si>
  <si>
    <t xml:space="preserve">LSB/g</t>
  </si>
  <si>
    <t xml:space="preserve">±8 g range</t>
  </si>
  <si>
    <t xml:space="preserve">BMI270 gyro</t>
  </si>
  <si>
    <t xml:space="preserve">Zero-rate offset</t>
  </si>
  <si>
    <t xml:space="preserve">±0.5</t>
  </si>
  <si>
    <t xml:space="preserve">°/s</t>
  </si>
  <si>
    <t xml:space="preserve">TA=25°C, nominal VDD</t>
  </si>
  <si>
    <t xml:space="preserve">BMI270 datasheet BST-BMI270-DS000-08, Table 3, p.14</t>
  </si>
  <si>
    <t xml:space="preserve">Zero-rate offset temperature drift</t>
  </si>
  <si>
    <t xml:space="preserve">±0.015</t>
  </si>
  <si>
    <t xml:space="preserve">°/s/K</t>
  </si>
  <si>
    <t xml:space="preserve">nominal VDD</t>
  </si>
  <si>
    <t xml:space="preserve">±2</t>
  </si>
  <si>
    <t xml:space="preserve">TA=25°C</t>
  </si>
  <si>
    <t xml:space="preserve">0.007</t>
  </si>
  <si>
    <t xml:space="preserve">°/s/√Hz</t>
  </si>
  <si>
    <t xml:space="preserve">performance mode</t>
  </si>
  <si>
    <t xml:space="preserve">0.010</t>
  </si>
  <si>
    <t xml:space="preserve">normal mode</t>
  </si>
  <si>
    <t xml:space="preserve">0.2</t>
  </si>
  <si>
    <t xml:space="preserve">BMI270 datasheet BST-BMI270-DS000-08, Table 3, p.15</t>
  </si>
  <si>
    <t xml:space="preserve">16.4</t>
  </si>
  <si>
    <t xml:space="preserve">LSB/(°/s)</t>
  </si>
  <si>
    <t xml:space="preserve">±2000 °/s range</t>
  </si>
  <si>
    <t xml:space="preserve">IIS2MDC</t>
  </si>
  <si>
    <t xml:space="preserve">Offset</t>
  </si>
  <si>
    <t xml:space="preserve">±60</t>
  </si>
  <si>
    <t xml:space="preserve">mG</t>
  </si>
  <si>
    <t xml:space="preserve">with offset cancellation</t>
  </si>
  <si>
    <t xml:space="preserve">IIS2MDC datasheet DocID030986 Rev 1, Table 3, p.9</t>
  </si>
  <si>
    <t xml:space="preserve">Offset temperature drift</t>
  </si>
  <si>
    <t xml:space="preserve">±0.3</t>
  </si>
  <si>
    <t xml:space="preserve">mG/°C</t>
  </si>
  <si>
    <t xml:space="preserve">1.5 (±7 %)</t>
  </si>
  <si>
    <t xml:space="preserve">mG/LSB</t>
  </si>
  <si>
    <t xml:space="preserve">after factory trim</t>
  </si>
  <si>
    <t xml:space="preserve">±0.03</t>
  </si>
  <si>
    <t xml:space="preserve">%/°C</t>
  </si>
  <si>
    <t xml:space="preserve">RMS noise</t>
  </si>
  <si>
    <t xml:space="preserve">3 typ, 4.6 max</t>
  </si>
  <si>
    <t xml:space="preserve">high-resolution, LPF or OFF_CANC on</t>
  </si>
  <si>
    <t xml:space="preserve">RMS noise, LPF off</t>
  </si>
  <si>
    <t xml:space="preserve">4.5</t>
  </si>
  <si>
    <t xml:space="preserve">high-resolution, BW = ODR/2</t>
  </si>
  <si>
    <t xml:space="preserve">IIS2MDC datasheet DocID030986 Rev 1, Table 10, p.16</t>
  </si>
  <si>
    <t xml:space="preserve">RMS noise, LPF on</t>
  </si>
  <si>
    <t xml:space="preserve">3</t>
  </si>
  <si>
    <t xml:space="preserve">high-resolution, BW = ODR/4</t>
  </si>
  <si>
    <t xml:space="preserve">Dynamic range</t>
  </si>
  <si>
    <t xml:space="preserve">±49.152</t>
  </si>
  <si>
    <t xml:space="preserve">gauss</t>
  </si>
  <si>
    <t xml:space="preserve">Register settings used in the sketches</t>
  </si>
  <si>
    <t xml:space="preserve">Register</t>
  </si>
  <si>
    <t xml:space="preserve">Address</t>
  </si>
  <si>
    <t xml:space="preserve">Field</t>
  </si>
  <si>
    <t xml:space="preserve">What it does</t>
  </si>
  <si>
    <t xml:space="preserve">CFG_REG_A</t>
  </si>
  <si>
    <t xml:space="preserve">0x60</t>
  </si>
  <si>
    <t xml:space="preserve">bit 7 COMP_TEMP_EN</t>
  </si>
  <si>
    <t xml:space="preserve">Temperature compensation. Chip corrects its readings for temperature. Datasheet footnote: must be set to 1.</t>
  </si>
  <si>
    <t xml:space="preserve">IIS2MDC datasheet DocID030986 Rev 1, Table 24, p.30</t>
  </si>
  <si>
    <t xml:space="preserve">bit 4 LP</t>
  </si>
  <si>
    <t xml:space="preserve">0</t>
  </si>
  <si>
    <t xml:space="preserve">High-resolution mode (lower noise) instead of low-power.</t>
  </si>
  <si>
    <t xml:space="preserve">bits 3:2 ODR</t>
  </si>
  <si>
    <t xml:space="preserve">10</t>
  </si>
  <si>
    <t xml:space="preserve">Output data rate 50 Hz.</t>
  </si>
  <si>
    <t xml:space="preserve">IIS2MDC datasheet DocID030986 Rev 1, Table 25, p.30</t>
  </si>
  <si>
    <t xml:space="preserve">bits 1:0 MD</t>
  </si>
  <si>
    <t xml:space="preserve">00</t>
  </si>
  <si>
    <t xml:space="preserve">Continuous measurement mode.</t>
  </si>
  <si>
    <t xml:space="preserve">IIS2MDC datasheet DocID030986 Rev 1, Table 26, p.30</t>
  </si>
  <si>
    <t xml:space="preserve">CFG_REG_B</t>
  </si>
  <si>
    <t xml:space="preserve">0x61</t>
  </si>
  <si>
    <t xml:space="preserve">bit 1 OFF_CANC</t>
  </si>
  <si>
    <t xml:space="preserve">Offset cancellation. Removes the sensor's own zero-field offset (not hard-iron from nearby parts). Offset and noise specs assume it is on.</t>
  </si>
  <si>
    <t xml:space="preserve">IIS2MDC datasheet DocID030986 Rev 1, Table 28, p.31</t>
  </si>
  <si>
    <t xml:space="preserve">bit 0 LPF</t>
  </si>
  <si>
    <t xml:space="preserve">Low-pass filter. Bandwidth ODR/4 = 12.5 Hz instead of ODR/2. Noise 3 mG instead of 4.5 mG.</t>
  </si>
  <si>
    <t xml:space="preserve">IIS2MDC datasheet DocID030986 Rev 1, Tables 28-29 p.31, Table 10 p.16</t>
  </si>
  <si>
    <t xml:space="preserve">CFG_REG_C</t>
  </si>
  <si>
    <t xml:space="preserve">0x62</t>
  </si>
  <si>
    <t xml:space="preserve">bit 4 BDU</t>
  </si>
  <si>
    <t xml:space="preserve">Block data update. Low and high bytes of an axis always come from the same sample, so no torn readings.</t>
  </si>
  <si>
    <t xml:space="preserve">IIS2MDC datasheet DocID030986 Rev 1, Table 31, p.32</t>
  </si>
  <si>
    <t xml:space="preserve">BMI270</t>
  </si>
  <si>
    <t xml:space="preserve">PWR_CONF</t>
  </si>
  <si>
    <t xml:space="preserve">0x7C</t>
  </si>
  <si>
    <t xml:space="preserve">adv_power_save</t>
  </si>
  <si>
    <t xml:space="preserve">Advanced power save off. Needed for config upload and normal access.</t>
  </si>
  <si>
    <t xml:space="preserve">BMI270 datasheet BST-BMI270-DS000-08, section 4.4</t>
  </si>
  <si>
    <t xml:space="preserve">INIT_CTRL / INIT_DATA</t>
  </si>
  <si>
    <t xml:space="preserve">0x59 / 0x5E</t>
  </si>
  <si>
    <t xml:space="preserve">config upload</t>
  </si>
  <si>
    <t xml:space="preserve">8192 bytes</t>
  </si>
  <si>
    <t xml:space="preserve">Bosch config file uploaded, then INTERNAL_STATUS checked for 0x01.</t>
  </si>
  <si>
    <t xml:space="preserve">BMI270 datasheet BST-BMI270-DS000-08, section 4.4, p.26</t>
  </si>
  <si>
    <t xml:space="preserve">PWR_CTRL</t>
  </si>
  <si>
    <t xml:space="preserve">0x7D</t>
  </si>
  <si>
    <t xml:space="preserve">acc_en, gyr_en, temp_en</t>
  </si>
  <si>
    <t xml:space="preserve">0x0E</t>
  </si>
  <si>
    <t xml:space="preserve">Accel, gyro and temperature sensor on.</t>
  </si>
  <si>
    <t xml:space="preserve">BMI270 datasheet BST-BMI270-DS000-08, performance mode example, p.22</t>
  </si>
  <si>
    <t xml:space="preserve">ACC_CONF</t>
  </si>
  <si>
    <t xml:space="preserve">0x40</t>
  </si>
  <si>
    <t xml:space="preserve">odr, bwp, filter_perf</t>
  </si>
  <si>
    <t xml:space="preserve">0xA8</t>
  </si>
  <si>
    <t xml:space="preserve">Accel 100 Hz, normal filter, filter_perf on.</t>
  </si>
  <si>
    <t xml:space="preserve">GYR_CONF</t>
  </si>
  <si>
    <t xml:space="preserve">0x42</t>
  </si>
  <si>
    <t xml:space="preserve">odr, bwp, noise_perf, filter_perf</t>
  </si>
  <si>
    <t xml:space="preserve">0xE9</t>
  </si>
  <si>
    <t xml:space="preserve">Gyro 200 Hz, normal filter, noise and filter performance on.</t>
  </si>
  <si>
    <t xml:space="preserve">0x02</t>
  </si>
  <si>
    <t xml:space="preserve">Power save stays off after setup.</t>
  </si>
  <si>
    <t xml:space="preserve">Measured values vs datasheet (board still)</t>
  </si>
  <si>
    <t xml:space="preserve">Blue = measured or datasheet input. Yellow = assumed filter bandwidth, edit if needed. Black = formula.</t>
  </si>
  <si>
    <t xml:space="preserve">Channel</t>
  </si>
  <si>
    <t xml:space="preserve">Measured mean</t>
  </si>
  <si>
    <t xml:space="preserve">Datasheet limit (±)</t>
  </si>
  <si>
    <t xml:space="preserve">Within spec?</t>
  </si>
  <si>
    <t xml:space="preserve">Data source</t>
  </si>
  <si>
    <t xml:space="preserve">X bias</t>
  </si>
  <si>
    <t xml:space="preserve">run2.csv, 37 s</t>
  </si>
  <si>
    <t xml:space="preserve">Y bias</t>
  </si>
  <si>
    <t xml:space="preserve">Z bias</t>
  </si>
  <si>
    <t xml:space="preserve">|a| − 1 g</t>
  </si>
  <si>
    <t xml:space="preserve">run2.csv, 37 s (offset + scale at one pose)</t>
  </si>
  <si>
    <t xml:space="preserve">Noise: expected rms = noise density × √(bandwidth)</t>
  </si>
  <si>
    <t xml:space="preserve">Measured sd</t>
  </si>
  <si>
    <t xml:space="preserve">Noise density</t>
  </si>
  <si>
    <t xml:space="preserve">Assumed bandwidth (Hz)</t>
  </si>
  <si>
    <t xml:space="preserve">Expected rms</t>
  </si>
  <si>
    <t xml:space="preserve">Measured / expected</t>
  </si>
  <si>
    <t xml:space="preserve">X</t>
  </si>
  <si>
    <t xml:space="preserve">run2.csv</t>
  </si>
  <si>
    <t xml:space="preserve">Y</t>
  </si>
  <si>
    <t xml:space="preserve">Z</t>
  </si>
  <si>
    <t xml:space="preserve">run2.csv (limited by 0.001 g print step)</t>
  </si>
  <si>
    <t xml:space="preserve">Magnetometer noise: datasheet gives rms directly</t>
  </si>
  <si>
    <t xml:space="preserve">Datasheet typ</t>
  </si>
  <si>
    <t xml:space="preserve">Datasheet max</t>
  </si>
  <si>
    <t xml:space="preserve">Within max?</t>
  </si>
  <si>
    <t xml:space="preserve">Measured / typ</t>
  </si>
  <si>
    <t xml:space="preserve">mag1.csv, 40 s, 50 Hz</t>
  </si>
  <si>
    <t xml:space="preserve">Other magnetometer readings (no datasheet limit, uncalibrated)</t>
  </si>
  <si>
    <t xml:space="preserve">Mean</t>
  </si>
  <si>
    <t xml:space="preserve">sd</t>
  </si>
  <si>
    <t xml:space="preserve">|B|</t>
  </si>
  <si>
    <t xml:space="preserve">mag1.csv</t>
  </si>
  <si>
    <t xml:space="preserve">Raw heading</t>
  </si>
  <si>
    <t xml:space="preserve">deg</t>
  </si>
  <si>
    <t xml:space="preserve">Notes</t>
  </si>
  <si>
    <t xml:space="preserve">heading = atan2(Y, X) in degrees, from the magnetometer X and Y readings with the board flat. Raw = no hard/soft-iron calibration and no tilt correction, so it is not a true bearing. Useful only for jitter and drift with the board still.</t>
  </si>
  <si>
    <t xml:space="preserve">Offset cancellation (IIS2MDC)</t>
  </si>
  <si>
    <t xml:space="preserve">Removes the sensor's own zero-field offset. The datasheet points to AN5080 for details; as far as we know it uses set/reset pulses and averages out the offset. It does not remove hard-iron offsets from nearby parts.</t>
  </si>
  <si>
    <t xml:space="preserve">Expected noise</t>
  </si>
  <si>
    <t xml:space="preserve">Datasheet gives BMI270 noise as density (per √Hz). Expected rms ≈ density × √(bandwidth). Bandwidths on the 'Measured vs Spec' sheet are approximate, so treat the result as a ballpark, not a hard limit.</t>
  </si>
  <si>
    <t xml:space="preserve">Measurement setup</t>
  </si>
  <si>
    <t xml:space="preserve">Arduino Uno, 3.3 V supply, I2C 100 kHz. BMI270 at 0x68 (SDO to GND), IIS2MDC at 0x1E. BMI270 sketch printed at about 5 Hz (accel 3 decimals g, gyro 2 decimals °/s). IIS2MDC sketch printed at 50 Hz.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</si>
</sst>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11"/>
      <color rgb="FF52514E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A5D9F"/>
        <bgColor rgb="FF33339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5D9F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251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40"/>
    <col collapsed="false" customWidth="true" hidden="false" outlineLevel="0" max="6" min="6" style="0" width="52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26.85" hidden="false" customHeight="false" outlineLevel="0" collapsed="false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</row>
    <row r="5" customFormat="false" ht="26.85" hidden="false" customHeight="false" outlineLevel="0" collapsed="false">
      <c r="A5" s="3" t="s">
        <v>7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12</v>
      </c>
    </row>
    <row r="6" customFormat="false" ht="26.85" hidden="false" customHeight="false" outlineLevel="0" collapsed="false">
      <c r="A6" s="3" t="s">
        <v>7</v>
      </c>
      <c r="B6" s="3" t="s">
        <v>17</v>
      </c>
      <c r="C6" s="3" t="s">
        <v>18</v>
      </c>
      <c r="D6" s="3" t="s">
        <v>19</v>
      </c>
      <c r="E6" s="3" t="s">
        <v>20</v>
      </c>
      <c r="F6" s="3" t="s">
        <v>12</v>
      </c>
    </row>
    <row r="7" customFormat="false" ht="26.85" hidden="false" customHeight="false" outlineLevel="0" collapsed="false">
      <c r="A7" s="3" t="s">
        <v>7</v>
      </c>
      <c r="B7" s="3" t="s">
        <v>21</v>
      </c>
      <c r="C7" s="3" t="s">
        <v>22</v>
      </c>
      <c r="D7" s="3" t="s">
        <v>23</v>
      </c>
      <c r="E7" s="3" t="s">
        <v>16</v>
      </c>
      <c r="F7" s="3" t="s">
        <v>12</v>
      </c>
    </row>
    <row r="8" customFormat="false" ht="26.85" hidden="false" customHeight="false" outlineLevel="0" collapsed="false">
      <c r="A8" s="3" t="s">
        <v>7</v>
      </c>
      <c r="B8" s="3" t="s">
        <v>24</v>
      </c>
      <c r="C8" s="3" t="s">
        <v>25</v>
      </c>
      <c r="D8" s="3" t="s">
        <v>26</v>
      </c>
      <c r="E8" s="3" t="s">
        <v>27</v>
      </c>
      <c r="F8" s="3" t="s">
        <v>12</v>
      </c>
    </row>
    <row r="9" customFormat="false" ht="26.85" hidden="false" customHeight="false" outlineLevel="0" collapsed="false">
      <c r="A9" s="3" t="s">
        <v>7</v>
      </c>
      <c r="B9" s="3" t="s">
        <v>28</v>
      </c>
      <c r="C9" s="3" t="s">
        <v>29</v>
      </c>
      <c r="D9" s="3" t="s">
        <v>19</v>
      </c>
      <c r="E9" s="3" t="s">
        <v>30</v>
      </c>
      <c r="F9" s="3" t="s">
        <v>31</v>
      </c>
    </row>
    <row r="10" customFormat="false" ht="26.85" hidden="false" customHeight="false" outlineLevel="0" collapsed="false">
      <c r="A10" s="3" t="s">
        <v>7</v>
      </c>
      <c r="B10" s="3" t="s">
        <v>32</v>
      </c>
      <c r="C10" s="3" t="s">
        <v>33</v>
      </c>
      <c r="D10" s="3" t="s">
        <v>34</v>
      </c>
      <c r="E10" s="3" t="s">
        <v>35</v>
      </c>
      <c r="F10" s="3" t="s">
        <v>12</v>
      </c>
    </row>
    <row r="11" customFormat="false" ht="26.85" hidden="false" customHeight="false" outlineLevel="0" collapsed="false">
      <c r="A11" s="3" t="s">
        <v>36</v>
      </c>
      <c r="B11" s="3" t="s">
        <v>37</v>
      </c>
      <c r="C11" s="3" t="s">
        <v>38</v>
      </c>
      <c r="D11" s="3" t="s">
        <v>39</v>
      </c>
      <c r="E11" s="3" t="s">
        <v>40</v>
      </c>
      <c r="F11" s="3" t="s">
        <v>41</v>
      </c>
    </row>
    <row r="12" customFormat="false" ht="26.85" hidden="false" customHeight="false" outlineLevel="0" collapsed="false">
      <c r="A12" s="3" t="s">
        <v>36</v>
      </c>
      <c r="B12" s="3" t="s">
        <v>42</v>
      </c>
      <c r="C12" s="3" t="s">
        <v>43</v>
      </c>
      <c r="D12" s="3" t="s">
        <v>44</v>
      </c>
      <c r="E12" s="3" t="s">
        <v>45</v>
      </c>
      <c r="F12" s="3" t="s">
        <v>41</v>
      </c>
    </row>
    <row r="13" customFormat="false" ht="26.85" hidden="false" customHeight="false" outlineLevel="0" collapsed="false">
      <c r="A13" s="3" t="s">
        <v>36</v>
      </c>
      <c r="B13" s="3" t="s">
        <v>17</v>
      </c>
      <c r="C13" s="3" t="s">
        <v>46</v>
      </c>
      <c r="D13" s="3" t="s">
        <v>19</v>
      </c>
      <c r="E13" s="3" t="s">
        <v>47</v>
      </c>
      <c r="F13" s="3" t="s">
        <v>41</v>
      </c>
    </row>
    <row r="14" customFormat="false" ht="26.85" hidden="false" customHeight="false" outlineLevel="0" collapsed="false">
      <c r="A14" s="3" t="s">
        <v>36</v>
      </c>
      <c r="B14" s="3" t="s">
        <v>24</v>
      </c>
      <c r="C14" s="3" t="s">
        <v>48</v>
      </c>
      <c r="D14" s="3" t="s">
        <v>49</v>
      </c>
      <c r="E14" s="3" t="s">
        <v>50</v>
      </c>
      <c r="F14" s="3" t="s">
        <v>41</v>
      </c>
    </row>
    <row r="15" customFormat="false" ht="26.85" hidden="false" customHeight="false" outlineLevel="0" collapsed="false">
      <c r="A15" s="3" t="s">
        <v>36</v>
      </c>
      <c r="B15" s="3" t="s">
        <v>24</v>
      </c>
      <c r="C15" s="3" t="s">
        <v>51</v>
      </c>
      <c r="D15" s="3" t="s">
        <v>49</v>
      </c>
      <c r="E15" s="3" t="s">
        <v>52</v>
      </c>
      <c r="F15" s="3" t="s">
        <v>41</v>
      </c>
    </row>
    <row r="16" customFormat="false" ht="26.85" hidden="false" customHeight="false" outlineLevel="0" collapsed="false">
      <c r="A16" s="3" t="s">
        <v>36</v>
      </c>
      <c r="B16" s="3" t="s">
        <v>28</v>
      </c>
      <c r="C16" s="3" t="s">
        <v>53</v>
      </c>
      <c r="D16" s="3" t="s">
        <v>19</v>
      </c>
      <c r="E16" s="3"/>
      <c r="F16" s="3" t="s">
        <v>54</v>
      </c>
    </row>
    <row r="17" customFormat="false" ht="26.85" hidden="false" customHeight="false" outlineLevel="0" collapsed="false">
      <c r="A17" s="3" t="s">
        <v>36</v>
      </c>
      <c r="B17" s="3" t="s">
        <v>32</v>
      </c>
      <c r="C17" s="3" t="s">
        <v>55</v>
      </c>
      <c r="D17" s="3" t="s">
        <v>56</v>
      </c>
      <c r="E17" s="3" t="s">
        <v>57</v>
      </c>
      <c r="F17" s="3" t="s">
        <v>41</v>
      </c>
    </row>
    <row r="18" customFormat="false" ht="15" hidden="false" customHeight="false" outlineLevel="0" collapsed="false">
      <c r="A18" s="3" t="s">
        <v>58</v>
      </c>
      <c r="B18" s="3" t="s">
        <v>59</v>
      </c>
      <c r="C18" s="3" t="s">
        <v>60</v>
      </c>
      <c r="D18" s="3" t="s">
        <v>61</v>
      </c>
      <c r="E18" s="3" t="s">
        <v>62</v>
      </c>
      <c r="F18" s="3" t="s">
        <v>63</v>
      </c>
    </row>
    <row r="19" customFormat="false" ht="15" hidden="false" customHeight="false" outlineLevel="0" collapsed="false">
      <c r="A19" s="3" t="s">
        <v>58</v>
      </c>
      <c r="B19" s="3" t="s">
        <v>64</v>
      </c>
      <c r="C19" s="3" t="s">
        <v>65</v>
      </c>
      <c r="D19" s="3" t="s">
        <v>66</v>
      </c>
      <c r="E19" s="3" t="s">
        <v>62</v>
      </c>
      <c r="F19" s="3" t="s">
        <v>63</v>
      </c>
    </row>
    <row r="20" customFormat="false" ht="15" hidden="false" customHeight="false" outlineLevel="0" collapsed="false">
      <c r="A20" s="3" t="s">
        <v>58</v>
      </c>
      <c r="B20" s="3" t="s">
        <v>32</v>
      </c>
      <c r="C20" s="3" t="s">
        <v>67</v>
      </c>
      <c r="D20" s="3" t="s">
        <v>68</v>
      </c>
      <c r="E20" s="3" t="s">
        <v>69</v>
      </c>
      <c r="F20" s="3" t="s">
        <v>63</v>
      </c>
    </row>
    <row r="21" customFormat="false" ht="15" hidden="false" customHeight="false" outlineLevel="0" collapsed="false">
      <c r="A21" s="3" t="s">
        <v>58</v>
      </c>
      <c r="B21" s="3" t="s">
        <v>21</v>
      </c>
      <c r="C21" s="3" t="s">
        <v>70</v>
      </c>
      <c r="D21" s="3" t="s">
        <v>71</v>
      </c>
      <c r="E21" s="3"/>
      <c r="F21" s="3" t="s">
        <v>63</v>
      </c>
    </row>
    <row r="22" customFormat="false" ht="15" hidden="false" customHeight="false" outlineLevel="0" collapsed="false">
      <c r="A22" s="3" t="s">
        <v>58</v>
      </c>
      <c r="B22" s="3" t="s">
        <v>72</v>
      </c>
      <c r="C22" s="3" t="s">
        <v>73</v>
      </c>
      <c r="D22" s="3" t="s">
        <v>61</v>
      </c>
      <c r="E22" s="3" t="s">
        <v>74</v>
      </c>
      <c r="F22" s="3" t="s">
        <v>63</v>
      </c>
    </row>
    <row r="23" customFormat="false" ht="26.85" hidden="false" customHeight="false" outlineLevel="0" collapsed="false">
      <c r="A23" s="3" t="s">
        <v>58</v>
      </c>
      <c r="B23" s="3" t="s">
        <v>75</v>
      </c>
      <c r="C23" s="3" t="s">
        <v>76</v>
      </c>
      <c r="D23" s="3" t="s">
        <v>61</v>
      </c>
      <c r="E23" s="3" t="s">
        <v>77</v>
      </c>
      <c r="F23" s="3" t="s">
        <v>78</v>
      </c>
    </row>
    <row r="24" customFormat="false" ht="26.85" hidden="false" customHeight="false" outlineLevel="0" collapsed="false">
      <c r="A24" s="3" t="s">
        <v>58</v>
      </c>
      <c r="B24" s="3" t="s">
        <v>79</v>
      </c>
      <c r="C24" s="3" t="s">
        <v>80</v>
      </c>
      <c r="D24" s="3" t="s">
        <v>61</v>
      </c>
      <c r="E24" s="3" t="s">
        <v>81</v>
      </c>
      <c r="F24" s="3" t="s">
        <v>78</v>
      </c>
    </row>
    <row r="25" customFormat="false" ht="15" hidden="false" customHeight="false" outlineLevel="0" collapsed="false">
      <c r="A25" s="3" t="s">
        <v>58</v>
      </c>
      <c r="B25" s="3" t="s">
        <v>82</v>
      </c>
      <c r="C25" s="3" t="s">
        <v>83</v>
      </c>
      <c r="D25" s="3" t="s">
        <v>84</v>
      </c>
      <c r="E25" s="3"/>
      <c r="F25" s="3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5" min="5" style="0" width="11"/>
    <col collapsed="false" customWidth="true" hidden="false" outlineLevel="0" max="6" min="6" style="0" width="70"/>
    <col collapsed="false" customWidth="true" hidden="false" outlineLevel="0" max="7" min="7" style="0" width="46"/>
  </cols>
  <sheetData>
    <row r="1" customFormat="false" ht="16.15" hidden="false" customHeight="false" outlineLevel="0" collapsed="false">
      <c r="A1" s="1" t="s">
        <v>85</v>
      </c>
    </row>
    <row r="3" customFormat="false" ht="15" hidden="false" customHeight="false" outlineLevel="0" collapsed="false">
      <c r="A3" s="2" t="s">
        <v>1</v>
      </c>
      <c r="B3" s="2" t="s">
        <v>86</v>
      </c>
      <c r="C3" s="2" t="s">
        <v>87</v>
      </c>
      <c r="D3" s="2" t="s">
        <v>88</v>
      </c>
      <c r="E3" s="2" t="s">
        <v>3</v>
      </c>
      <c r="F3" s="2" t="s">
        <v>89</v>
      </c>
      <c r="G3" s="2" t="s">
        <v>6</v>
      </c>
    </row>
    <row r="4" customFormat="false" ht="26.85" hidden="false" customHeight="false" outlineLevel="0" collapsed="false">
      <c r="A4" s="3" t="s">
        <v>58</v>
      </c>
      <c r="B4" s="3" t="s">
        <v>90</v>
      </c>
      <c r="C4" s="3" t="s">
        <v>91</v>
      </c>
      <c r="D4" s="3" t="s">
        <v>92</v>
      </c>
      <c r="E4" s="3" t="s">
        <v>29</v>
      </c>
      <c r="F4" s="3" t="s">
        <v>93</v>
      </c>
      <c r="G4" s="3" t="s">
        <v>94</v>
      </c>
    </row>
    <row r="5" customFormat="false" ht="26.85" hidden="false" customHeight="false" outlineLevel="0" collapsed="false">
      <c r="A5" s="3" t="s">
        <v>58</v>
      </c>
      <c r="B5" s="3" t="s">
        <v>90</v>
      </c>
      <c r="C5" s="3" t="s">
        <v>91</v>
      </c>
      <c r="D5" s="3" t="s">
        <v>95</v>
      </c>
      <c r="E5" s="3" t="s">
        <v>96</v>
      </c>
      <c r="F5" s="3" t="s">
        <v>97</v>
      </c>
      <c r="G5" s="3" t="s">
        <v>94</v>
      </c>
    </row>
    <row r="6" customFormat="false" ht="26.85" hidden="false" customHeight="false" outlineLevel="0" collapsed="false">
      <c r="A6" s="3" t="s">
        <v>58</v>
      </c>
      <c r="B6" s="3" t="s">
        <v>90</v>
      </c>
      <c r="C6" s="3" t="s">
        <v>91</v>
      </c>
      <c r="D6" s="3" t="s">
        <v>98</v>
      </c>
      <c r="E6" s="3" t="s">
        <v>99</v>
      </c>
      <c r="F6" s="3" t="s">
        <v>100</v>
      </c>
      <c r="G6" s="3" t="s">
        <v>101</v>
      </c>
    </row>
    <row r="7" customFormat="false" ht="26.85" hidden="false" customHeight="false" outlineLevel="0" collapsed="false">
      <c r="A7" s="3" t="s">
        <v>58</v>
      </c>
      <c r="B7" s="3" t="s">
        <v>90</v>
      </c>
      <c r="C7" s="3" t="s">
        <v>91</v>
      </c>
      <c r="D7" s="3" t="s">
        <v>102</v>
      </c>
      <c r="E7" s="3" t="s">
        <v>103</v>
      </c>
      <c r="F7" s="3" t="s">
        <v>104</v>
      </c>
      <c r="G7" s="3" t="s">
        <v>105</v>
      </c>
    </row>
    <row r="8" customFormat="false" ht="26.85" hidden="false" customHeight="false" outlineLevel="0" collapsed="false">
      <c r="A8" s="3" t="s">
        <v>58</v>
      </c>
      <c r="B8" s="3" t="s">
        <v>106</v>
      </c>
      <c r="C8" s="3" t="s">
        <v>107</v>
      </c>
      <c r="D8" s="3" t="s">
        <v>108</v>
      </c>
      <c r="E8" s="3" t="s">
        <v>29</v>
      </c>
      <c r="F8" s="3" t="s">
        <v>109</v>
      </c>
      <c r="G8" s="3" t="s">
        <v>110</v>
      </c>
    </row>
    <row r="9" customFormat="false" ht="26.85" hidden="false" customHeight="false" outlineLevel="0" collapsed="false">
      <c r="A9" s="3" t="s">
        <v>58</v>
      </c>
      <c r="B9" s="3" t="s">
        <v>106</v>
      </c>
      <c r="C9" s="3" t="s">
        <v>107</v>
      </c>
      <c r="D9" s="3" t="s">
        <v>111</v>
      </c>
      <c r="E9" s="3" t="s">
        <v>29</v>
      </c>
      <c r="F9" s="3" t="s">
        <v>112</v>
      </c>
      <c r="G9" s="3" t="s">
        <v>113</v>
      </c>
    </row>
    <row r="10" customFormat="false" ht="26.85" hidden="false" customHeight="false" outlineLevel="0" collapsed="false">
      <c r="A10" s="3" t="s">
        <v>58</v>
      </c>
      <c r="B10" s="3" t="s">
        <v>114</v>
      </c>
      <c r="C10" s="3" t="s">
        <v>115</v>
      </c>
      <c r="D10" s="3" t="s">
        <v>116</v>
      </c>
      <c r="E10" s="3" t="s">
        <v>29</v>
      </c>
      <c r="F10" s="3" t="s">
        <v>117</v>
      </c>
      <c r="G10" s="3" t="s">
        <v>118</v>
      </c>
    </row>
    <row r="11" customFormat="false" ht="26.85" hidden="false" customHeight="false" outlineLevel="0" collapsed="false">
      <c r="A11" s="3" t="s">
        <v>119</v>
      </c>
      <c r="B11" s="3" t="s">
        <v>120</v>
      </c>
      <c r="C11" s="3" t="s">
        <v>121</v>
      </c>
      <c r="D11" s="3" t="s">
        <v>122</v>
      </c>
      <c r="E11" s="3" t="s">
        <v>96</v>
      </c>
      <c r="F11" s="3" t="s">
        <v>123</v>
      </c>
      <c r="G11" s="3" t="s">
        <v>124</v>
      </c>
    </row>
    <row r="12" customFormat="false" ht="26.85" hidden="false" customHeight="false" outlineLevel="0" collapsed="false">
      <c r="A12" s="3" t="s">
        <v>119</v>
      </c>
      <c r="B12" s="3" t="s">
        <v>125</v>
      </c>
      <c r="C12" s="3" t="s">
        <v>126</v>
      </c>
      <c r="D12" s="3" t="s">
        <v>127</v>
      </c>
      <c r="E12" s="3" t="s">
        <v>128</v>
      </c>
      <c r="F12" s="3" t="s">
        <v>129</v>
      </c>
      <c r="G12" s="3" t="s">
        <v>130</v>
      </c>
    </row>
    <row r="13" customFormat="false" ht="26.85" hidden="false" customHeight="false" outlineLevel="0" collapsed="false">
      <c r="A13" s="3" t="s">
        <v>119</v>
      </c>
      <c r="B13" s="3" t="s">
        <v>131</v>
      </c>
      <c r="C13" s="3" t="s">
        <v>132</v>
      </c>
      <c r="D13" s="3" t="s">
        <v>133</v>
      </c>
      <c r="E13" s="3" t="s">
        <v>134</v>
      </c>
      <c r="F13" s="3" t="s">
        <v>135</v>
      </c>
      <c r="G13" s="3" t="s">
        <v>136</v>
      </c>
    </row>
    <row r="14" customFormat="false" ht="26.85" hidden="false" customHeight="false" outlineLevel="0" collapsed="false">
      <c r="A14" s="3" t="s">
        <v>119</v>
      </c>
      <c r="B14" s="3" t="s">
        <v>137</v>
      </c>
      <c r="C14" s="3" t="s">
        <v>138</v>
      </c>
      <c r="D14" s="3" t="s">
        <v>139</v>
      </c>
      <c r="E14" s="3" t="s">
        <v>140</v>
      </c>
      <c r="F14" s="3" t="s">
        <v>141</v>
      </c>
      <c r="G14" s="3" t="s">
        <v>136</v>
      </c>
    </row>
    <row r="15" customFormat="false" ht="26.85" hidden="false" customHeight="false" outlineLevel="0" collapsed="false">
      <c r="A15" s="3" t="s">
        <v>119</v>
      </c>
      <c r="B15" s="3" t="s">
        <v>142</v>
      </c>
      <c r="C15" s="3" t="s">
        <v>143</v>
      </c>
      <c r="D15" s="3" t="s">
        <v>144</v>
      </c>
      <c r="E15" s="3" t="s">
        <v>145</v>
      </c>
      <c r="F15" s="3" t="s">
        <v>146</v>
      </c>
      <c r="G15" s="3" t="s">
        <v>136</v>
      </c>
    </row>
    <row r="16" customFormat="false" ht="26.85" hidden="false" customHeight="false" outlineLevel="0" collapsed="false">
      <c r="A16" s="3" t="s">
        <v>119</v>
      </c>
      <c r="B16" s="3" t="s">
        <v>120</v>
      </c>
      <c r="C16" s="3" t="s">
        <v>121</v>
      </c>
      <c r="D16" s="3" t="s">
        <v>122</v>
      </c>
      <c r="E16" s="3" t="s">
        <v>147</v>
      </c>
      <c r="F16" s="3" t="s">
        <v>148</v>
      </c>
      <c r="G16" s="3" t="s">
        <v>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3" min="2" style="0" width="14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40"/>
  </cols>
  <sheetData>
    <row r="1" customFormat="false" ht="16.15" hidden="false" customHeight="false" outlineLevel="0" collapsed="false">
      <c r="A1" s="1" t="s">
        <v>149</v>
      </c>
    </row>
    <row r="2" customFormat="false" ht="15" hidden="false" customHeight="false" outlineLevel="0" collapsed="false">
      <c r="A2" s="4" t="s">
        <v>150</v>
      </c>
    </row>
    <row r="4" customFormat="false" ht="30" hidden="false" customHeight="true" outlineLevel="0" collapsed="false">
      <c r="A4" s="2" t="s">
        <v>1</v>
      </c>
      <c r="B4" s="2" t="s">
        <v>151</v>
      </c>
      <c r="C4" s="2" t="s">
        <v>152</v>
      </c>
      <c r="D4" s="2" t="s">
        <v>4</v>
      </c>
      <c r="E4" s="2" t="s">
        <v>153</v>
      </c>
      <c r="F4" s="2" t="s">
        <v>154</v>
      </c>
      <c r="G4" s="2" t="s">
        <v>155</v>
      </c>
    </row>
    <row r="5" customFormat="false" ht="15" hidden="false" customHeight="false" outlineLevel="0" collapsed="false">
      <c r="A5" s="3" t="s">
        <v>36</v>
      </c>
      <c r="B5" s="3" t="s">
        <v>156</v>
      </c>
      <c r="C5" s="5" t="n">
        <v>0.111</v>
      </c>
      <c r="D5" s="3" t="s">
        <v>39</v>
      </c>
      <c r="E5" s="6" t="n">
        <v>0.5</v>
      </c>
      <c r="F5" s="3" t="str">
        <f aca="false">IF(ABS(C5)&lt;=E5,"Yes","No")</f>
        <v>Yes</v>
      </c>
      <c r="G5" s="3" t="s">
        <v>157</v>
      </c>
    </row>
    <row r="6" customFormat="false" ht="15" hidden="false" customHeight="false" outlineLevel="0" collapsed="false">
      <c r="A6" s="3" t="s">
        <v>36</v>
      </c>
      <c r="B6" s="3" t="s">
        <v>158</v>
      </c>
      <c r="C6" s="5" t="n">
        <v>0.06</v>
      </c>
      <c r="D6" s="3" t="s">
        <v>39</v>
      </c>
      <c r="E6" s="6" t="n">
        <v>0.5</v>
      </c>
      <c r="F6" s="3" t="str">
        <f aca="false">IF(ABS(C6)&lt;=E6,"Yes","No")</f>
        <v>Yes</v>
      </c>
      <c r="G6" s="3" t="s">
        <v>157</v>
      </c>
    </row>
    <row r="7" customFormat="false" ht="15" hidden="false" customHeight="false" outlineLevel="0" collapsed="false">
      <c r="A7" s="3" t="s">
        <v>36</v>
      </c>
      <c r="B7" s="3" t="s">
        <v>159</v>
      </c>
      <c r="C7" s="5" t="n">
        <v>-0.055</v>
      </c>
      <c r="D7" s="3" t="s">
        <v>39</v>
      </c>
      <c r="E7" s="6" t="n">
        <v>0.5</v>
      </c>
      <c r="F7" s="3" t="str">
        <f aca="false">IF(ABS(C7)&lt;=E7,"Yes","No")</f>
        <v>Yes</v>
      </c>
      <c r="G7" s="3" t="s">
        <v>157</v>
      </c>
    </row>
    <row r="8" customFormat="false" ht="39.55" hidden="false" customHeight="false" outlineLevel="0" collapsed="false">
      <c r="A8" s="3" t="s">
        <v>7</v>
      </c>
      <c r="B8" s="3" t="s">
        <v>160</v>
      </c>
      <c r="C8" s="5" t="n">
        <v>-0.205</v>
      </c>
      <c r="D8" s="3" t="s">
        <v>10</v>
      </c>
      <c r="E8" s="6" t="n">
        <v>20</v>
      </c>
      <c r="F8" s="3" t="str">
        <f aca="false">IF(ABS(C8)&lt;=E8,"Yes","No")</f>
        <v>Yes</v>
      </c>
      <c r="G8" s="3" t="s">
        <v>161</v>
      </c>
    </row>
    <row r="10" customFormat="false" ht="15" hidden="false" customHeight="false" outlineLevel="0" collapsed="false">
      <c r="A10" s="7" t="s">
        <v>162</v>
      </c>
    </row>
    <row r="11" customFormat="false" ht="30" hidden="false" customHeight="true" outlineLevel="0" collapsed="false">
      <c r="A11" s="2" t="s">
        <v>1</v>
      </c>
      <c r="B11" s="2" t="s">
        <v>151</v>
      </c>
      <c r="C11" s="2" t="s">
        <v>163</v>
      </c>
      <c r="D11" s="2" t="s">
        <v>4</v>
      </c>
      <c r="E11" s="2" t="s">
        <v>164</v>
      </c>
      <c r="F11" s="2" t="s">
        <v>165</v>
      </c>
      <c r="G11" s="2" t="s">
        <v>166</v>
      </c>
      <c r="H11" s="2" t="s">
        <v>167</v>
      </c>
      <c r="I11" s="2" t="s">
        <v>155</v>
      </c>
    </row>
    <row r="12" customFormat="false" ht="15" hidden="false" customHeight="false" outlineLevel="0" collapsed="false">
      <c r="A12" s="3" t="s">
        <v>36</v>
      </c>
      <c r="B12" s="3" t="s">
        <v>168</v>
      </c>
      <c r="C12" s="5" t="n">
        <v>0.119</v>
      </c>
      <c r="D12" s="3" t="s">
        <v>39</v>
      </c>
      <c r="E12" s="6" t="n">
        <v>0.007</v>
      </c>
      <c r="F12" s="8" t="n">
        <v>75</v>
      </c>
      <c r="G12" s="9" t="n">
        <f aca="false">E12*SQRT(F12)</f>
        <v>0.0606217782649107</v>
      </c>
      <c r="H12" s="10" t="n">
        <f aca="false">IFERROR(C12/G12,"")</f>
        <v>1.96299091524473</v>
      </c>
      <c r="I12" s="3" t="s">
        <v>169</v>
      </c>
    </row>
    <row r="13" customFormat="false" ht="15" hidden="false" customHeight="false" outlineLevel="0" collapsed="false">
      <c r="A13" s="3" t="s">
        <v>36</v>
      </c>
      <c r="B13" s="3" t="s">
        <v>170</v>
      </c>
      <c r="C13" s="5" t="n">
        <v>0.065</v>
      </c>
      <c r="D13" s="3" t="s">
        <v>39</v>
      </c>
      <c r="E13" s="6" t="n">
        <v>0.007</v>
      </c>
      <c r="F13" s="8" t="n">
        <v>75</v>
      </c>
      <c r="G13" s="9" t="n">
        <f aca="false">E13*SQRT(F13)</f>
        <v>0.0606217782649107</v>
      </c>
      <c r="H13" s="10" t="n">
        <f aca="false">IFERROR(C13/G13,"")</f>
        <v>1.07222192849502</v>
      </c>
      <c r="I13" s="3" t="s">
        <v>169</v>
      </c>
    </row>
    <row r="14" customFormat="false" ht="15" hidden="false" customHeight="false" outlineLevel="0" collapsed="false">
      <c r="A14" s="3" t="s">
        <v>36</v>
      </c>
      <c r="B14" s="3" t="s">
        <v>171</v>
      </c>
      <c r="C14" s="5" t="n">
        <v>0.061</v>
      </c>
      <c r="D14" s="3" t="s">
        <v>39</v>
      </c>
      <c r="E14" s="6" t="n">
        <v>0.007</v>
      </c>
      <c r="F14" s="8" t="n">
        <v>75</v>
      </c>
      <c r="G14" s="9" t="n">
        <f aca="false">E14*SQRT(F14)</f>
        <v>0.0606217782649107</v>
      </c>
      <c r="H14" s="10" t="n">
        <f aca="false">IFERROR(C14/G14,"")</f>
        <v>1.00623904058763</v>
      </c>
      <c r="I14" s="3" t="s">
        <v>169</v>
      </c>
    </row>
    <row r="15" customFormat="false" ht="15" hidden="false" customHeight="false" outlineLevel="0" collapsed="false">
      <c r="A15" s="3" t="s">
        <v>7</v>
      </c>
      <c r="B15" s="3" t="s">
        <v>168</v>
      </c>
      <c r="C15" s="5" t="n">
        <v>0.9</v>
      </c>
      <c r="D15" s="3" t="s">
        <v>10</v>
      </c>
      <c r="E15" s="6" t="n">
        <v>0.16</v>
      </c>
      <c r="F15" s="8" t="n">
        <v>40</v>
      </c>
      <c r="G15" s="9" t="n">
        <f aca="false">E15*SQRT(F15)</f>
        <v>1.01192885125388</v>
      </c>
      <c r="H15" s="10" t="n">
        <f aca="false">IFERROR(C15/G15,"")</f>
        <v>0.889390591922357</v>
      </c>
      <c r="I15" s="3" t="s">
        <v>172</v>
      </c>
    </row>
    <row r="16" customFormat="false" ht="15" hidden="false" customHeight="false" outlineLevel="0" collapsed="false">
      <c r="A16" s="3" t="s">
        <v>7</v>
      </c>
      <c r="B16" s="3" t="s">
        <v>170</v>
      </c>
      <c r="C16" s="5" t="n">
        <v>1.4</v>
      </c>
      <c r="D16" s="3" t="s">
        <v>10</v>
      </c>
      <c r="E16" s="6" t="n">
        <v>0.16</v>
      </c>
      <c r="F16" s="8" t="n">
        <v>40</v>
      </c>
      <c r="G16" s="9" t="n">
        <f aca="false">E16*SQRT(F16)</f>
        <v>1.01192885125388</v>
      </c>
      <c r="H16" s="10" t="n">
        <f aca="false">IFERROR(C16/G16,"")</f>
        <v>1.38349647632367</v>
      </c>
      <c r="I16" s="3" t="s">
        <v>172</v>
      </c>
    </row>
    <row r="17" customFormat="false" ht="15" hidden="false" customHeight="false" outlineLevel="0" collapsed="false">
      <c r="A17" s="3" t="s">
        <v>7</v>
      </c>
      <c r="B17" s="3" t="s">
        <v>171</v>
      </c>
      <c r="C17" s="5" t="n">
        <v>1</v>
      </c>
      <c r="D17" s="3" t="s">
        <v>10</v>
      </c>
      <c r="E17" s="6" t="n">
        <v>0.16</v>
      </c>
      <c r="F17" s="8" t="n">
        <v>40</v>
      </c>
      <c r="G17" s="9" t="n">
        <f aca="false">E17*SQRT(F17)</f>
        <v>1.01192885125388</v>
      </c>
      <c r="H17" s="10" t="n">
        <f aca="false">IFERROR(C17/G17,"")</f>
        <v>0.988211768802618</v>
      </c>
      <c r="I17" s="3" t="s">
        <v>172</v>
      </c>
    </row>
    <row r="19" customFormat="false" ht="15" hidden="false" customHeight="false" outlineLevel="0" collapsed="false">
      <c r="A19" s="7" t="s">
        <v>173</v>
      </c>
    </row>
    <row r="20" customFormat="false" ht="30" hidden="false" customHeight="true" outlineLevel="0" collapsed="false">
      <c r="A20" s="2" t="s">
        <v>1</v>
      </c>
      <c r="B20" s="2" t="s">
        <v>151</v>
      </c>
      <c r="C20" s="2" t="s">
        <v>163</v>
      </c>
      <c r="D20" s="2" t="s">
        <v>4</v>
      </c>
      <c r="E20" s="2" t="s">
        <v>174</v>
      </c>
      <c r="F20" s="2" t="s">
        <v>175</v>
      </c>
      <c r="G20" s="2" t="s">
        <v>176</v>
      </c>
      <c r="H20" s="2" t="s">
        <v>177</v>
      </c>
      <c r="I20" s="2" t="s">
        <v>155</v>
      </c>
    </row>
    <row r="21" customFormat="false" ht="15" hidden="false" customHeight="false" outlineLevel="0" collapsed="false">
      <c r="A21" s="3" t="s">
        <v>58</v>
      </c>
      <c r="B21" s="3" t="s">
        <v>168</v>
      </c>
      <c r="C21" s="6" t="n">
        <v>3.56</v>
      </c>
      <c r="D21" s="3" t="s">
        <v>61</v>
      </c>
      <c r="E21" s="6" t="n">
        <v>3</v>
      </c>
      <c r="F21" s="6" t="n">
        <v>4.6</v>
      </c>
      <c r="G21" s="3" t="str">
        <f aca="false">IF(C21&lt;=F21,"Yes","No")</f>
        <v>Yes</v>
      </c>
      <c r="H21" s="10" t="n">
        <f aca="false">C21/E21</f>
        <v>1.18666666666667</v>
      </c>
      <c r="I21" s="3" t="s">
        <v>178</v>
      </c>
    </row>
    <row r="22" customFormat="false" ht="15" hidden="false" customHeight="false" outlineLevel="0" collapsed="false">
      <c r="A22" s="3" t="s">
        <v>58</v>
      </c>
      <c r="B22" s="3" t="s">
        <v>170</v>
      </c>
      <c r="C22" s="6" t="n">
        <v>3.23</v>
      </c>
      <c r="D22" s="3" t="s">
        <v>61</v>
      </c>
      <c r="E22" s="6" t="n">
        <v>3</v>
      </c>
      <c r="F22" s="6" t="n">
        <v>4.6</v>
      </c>
      <c r="G22" s="3" t="str">
        <f aca="false">IF(C22&lt;=F22,"Yes","No")</f>
        <v>Yes</v>
      </c>
      <c r="H22" s="10" t="n">
        <f aca="false">C22/E22</f>
        <v>1.07666666666667</v>
      </c>
      <c r="I22" s="3" t="s">
        <v>178</v>
      </c>
    </row>
    <row r="23" customFormat="false" ht="15" hidden="false" customHeight="false" outlineLevel="0" collapsed="false">
      <c r="A23" s="3" t="s">
        <v>58</v>
      </c>
      <c r="B23" s="3" t="s">
        <v>171</v>
      </c>
      <c r="C23" s="6" t="n">
        <v>3.11</v>
      </c>
      <c r="D23" s="3" t="s">
        <v>61</v>
      </c>
      <c r="E23" s="6" t="n">
        <v>3</v>
      </c>
      <c r="F23" s="6" t="n">
        <v>4.6</v>
      </c>
      <c r="G23" s="3" t="str">
        <f aca="false">IF(C23&lt;=F23,"Yes","No")</f>
        <v>Yes</v>
      </c>
      <c r="H23" s="10" t="n">
        <f aca="false">C23/E23</f>
        <v>1.03666666666667</v>
      </c>
      <c r="I23" s="3" t="s">
        <v>178</v>
      </c>
    </row>
    <row r="25" customFormat="false" ht="15" hidden="false" customHeight="false" outlineLevel="0" collapsed="false">
      <c r="A25" s="7" t="s">
        <v>179</v>
      </c>
    </row>
    <row r="26" customFormat="false" ht="15" hidden="false" customHeight="false" outlineLevel="0" collapsed="false">
      <c r="A26" s="11" t="s">
        <v>1</v>
      </c>
      <c r="B26" s="11" t="s">
        <v>151</v>
      </c>
      <c r="C26" s="11" t="s">
        <v>180</v>
      </c>
      <c r="D26" s="11" t="s">
        <v>4</v>
      </c>
      <c r="E26" s="11" t="s">
        <v>181</v>
      </c>
      <c r="I26" s="11" t="s">
        <v>155</v>
      </c>
    </row>
    <row r="27" customFormat="false" ht="15" hidden="false" customHeight="false" outlineLevel="0" collapsed="false">
      <c r="A27" s="12" t="s">
        <v>58</v>
      </c>
      <c r="B27" s="12" t="s">
        <v>182</v>
      </c>
      <c r="C27" s="13" t="n">
        <v>252.1</v>
      </c>
      <c r="D27" s="12" t="s">
        <v>61</v>
      </c>
      <c r="E27" s="13" t="n">
        <v>3.12</v>
      </c>
      <c r="I27" s="12" t="s">
        <v>183</v>
      </c>
    </row>
    <row r="28" customFormat="false" ht="15" hidden="false" customHeight="false" outlineLevel="0" collapsed="false">
      <c r="A28" s="12" t="s">
        <v>58</v>
      </c>
      <c r="B28" s="12" t="s">
        <v>184</v>
      </c>
      <c r="C28" s="13" t="n">
        <v>119.66</v>
      </c>
      <c r="D28" s="12" t="s">
        <v>185</v>
      </c>
      <c r="E28" s="13" t="n">
        <v>0.855</v>
      </c>
      <c r="I28" s="12" t="s">
        <v>183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0"/>
  </cols>
  <sheetData>
    <row r="1" customFormat="false" ht="16.15" hidden="false" customHeight="false" outlineLevel="0" collapsed="false">
      <c r="A1" s="1" t="s">
        <v>186</v>
      </c>
    </row>
    <row r="3" customFormat="false" ht="39.55" hidden="false" customHeight="false" outlineLevel="0" collapsed="false">
      <c r="A3" s="14" t="s">
        <v>184</v>
      </c>
      <c r="B3" s="15" t="s">
        <v>187</v>
      </c>
    </row>
    <row r="4" customFormat="false" ht="26.85" hidden="false" customHeight="false" outlineLevel="0" collapsed="false">
      <c r="A4" s="14" t="s">
        <v>188</v>
      </c>
      <c r="B4" s="15" t="s">
        <v>189</v>
      </c>
    </row>
    <row r="5" customFormat="false" ht="26.85" hidden="false" customHeight="false" outlineLevel="0" collapsed="false">
      <c r="A5" s="14" t="s">
        <v>190</v>
      </c>
      <c r="B5" s="15" t="s">
        <v>191</v>
      </c>
    </row>
    <row r="6" customFormat="false" ht="26.85" hidden="false" customHeight="false" outlineLevel="0" collapsed="false">
      <c r="A6" s="14" t="s">
        <v>192</v>
      </c>
      <c r="B6" s="15" t="s">
        <v>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2026-10-06T17:45:42Z</dcterms:created>
  <dc:creator>openpyxl</dc:creator>
  <dc:description/>
  <dc:language>en-US</dc:language>
  <cp:lastModifiedBy/>
  <dcterms:modified xsi:type="dcterms:W3CDTF">2026-10-06T17:45:42Z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